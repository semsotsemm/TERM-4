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termensh\Useless\Labs\TERM-4_MP\Laboratory_01\"/>
    </mc:Choice>
  </mc:AlternateContent>
  <xr:revisionPtr revIDLastSave="0" documentId="8_{06E00354-25C8-41C1-AFDC-6AC0640F72DE}" xr6:coauthVersionLast="47" xr6:coauthVersionMax="47" xr10:uidLastSave="{00000000-0000-0000-0000-000000000000}"/>
  <bookViews>
    <workbookView xWindow="-120" yWindow="-120" windowWidth="29040" windowHeight="16440" xr2:uid="{B9548CA2-41A3-433B-9D99-8155B3A4C6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" l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</calcChain>
</file>

<file path=xl/sharedStrings.xml><?xml version="1.0" encoding="utf-8"?>
<sst xmlns="http://schemas.openxmlformats.org/spreadsheetml/2006/main" count="6" uniqueCount="6">
  <si>
    <t>Количество циклов</t>
  </si>
  <si>
    <t xml:space="preserve"> Продолжительноть (с.)</t>
  </si>
  <si>
    <t>Номер числа Фибоначчи</t>
  </si>
  <si>
    <t>Время вычисления (у.е.)</t>
  </si>
  <si>
    <t>Корректировачный коэфициент =</t>
  </si>
  <si>
    <t>Ожидаемое время (у.е.)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</si>
</sst>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  <font>
      <sz val="11"/>
      <color rgb="FF1F1F1F"/>
      <name val="Aptos Narrow"/>
      <family val="2"/>
      <scheme val="minor"/>
    </font>
    <font>
      <b/>
      <sz val="11"/>
      <color rgb="FF1F1F1F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Border="1" applyAlignment="1">
      <alignment horizontal="left" vertical="center" wrapText="1" indent="1" readingOrder="1"/>
    </xf>
    <xf numFmtId="3" fontId="1" fillId="0" borderId="0" xfId="0" applyNumberFormat="1" applyFont="1" applyBorder="1" applyAlignment="1">
      <alignment horizontal="left" vertical="center" wrapText="1" indent="1" readingOrder="1"/>
    </xf>
    <xf numFmtId="0" fontId="1" fillId="0" borderId="0" xfId="0" applyFont="1" applyBorder="1" applyAlignment="1">
      <alignment horizontal="left" vertical="center" wrapText="1" indent="1" readingOrder="1"/>
    </xf>
    <xf numFmtId="0" fontId="5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 readingOrder="1"/>
    </xf>
    <xf numFmtId="0" fontId="3" fillId="0" borderId="1" xfId="0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4" fillId="0" borderId="3" xfId="0" applyFont="1" applyBorder="1" applyAlignment="1">
      <alignment horizontal="center" vertical="top" readingOrder="1"/>
    </xf>
    <xf numFmtId="0" fontId="6" fillId="0" borderId="4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readingOrder="1"/>
    </xf>
    <xf numFmtId="0" fontId="5" fillId="0" borderId="6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 readingOrder="1"/>
    </xf>
    <xf numFmtId="0" fontId="3" fillId="0" borderId="8" xfId="0" applyFont="1" applyBorder="1" applyAlignment="1">
      <alignment horizontal="center" vertical="top" readingOrder="1"/>
    </xf>
    <xf numFmtId="0" fontId="3" fillId="0" borderId="0" xfId="0" applyFont="1" applyFill="1" applyBorder="1" applyAlignment="1">
      <alignment horizontal="center" vertical="top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 Продолжительноть (с.)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Лист1!$A$2:$A$21</c:f>
              <c:numCache>
                <c:formatCode>General</c:formatCode>
                <c:ptCount val="20"/>
                <c:pt idx="0">
                  <c:v>5000000</c:v>
                </c:pt>
                <c:pt idx="1">
                  <c:v>10000000</c:v>
                </c:pt>
                <c:pt idx="2">
                  <c:v>15000000</c:v>
                </c:pt>
                <c:pt idx="3">
                  <c:v>20000000</c:v>
                </c:pt>
                <c:pt idx="4">
                  <c:v>25000000</c:v>
                </c:pt>
                <c:pt idx="5">
                  <c:v>30000000</c:v>
                </c:pt>
                <c:pt idx="6">
                  <c:v>35000000</c:v>
                </c:pt>
                <c:pt idx="7">
                  <c:v>40000000</c:v>
                </c:pt>
                <c:pt idx="8">
                  <c:v>45000000</c:v>
                </c:pt>
                <c:pt idx="9">
                  <c:v>50000000</c:v>
                </c:pt>
                <c:pt idx="10">
                  <c:v>55000000</c:v>
                </c:pt>
                <c:pt idx="11">
                  <c:v>60000000</c:v>
                </c:pt>
                <c:pt idx="12">
                  <c:v>65000000</c:v>
                </c:pt>
                <c:pt idx="13">
                  <c:v>70000000</c:v>
                </c:pt>
                <c:pt idx="14">
                  <c:v>75000000</c:v>
                </c:pt>
                <c:pt idx="15">
                  <c:v>80000000</c:v>
                </c:pt>
                <c:pt idx="16">
                  <c:v>85000000</c:v>
                </c:pt>
                <c:pt idx="17">
                  <c:v>90000000</c:v>
                </c:pt>
                <c:pt idx="18">
                  <c:v>95000000</c:v>
                </c:pt>
                <c:pt idx="19">
                  <c:v>100000000</c:v>
                </c:pt>
              </c:numCache>
            </c:numRef>
          </c:xVal>
          <c:yVal>
            <c:numRef>
              <c:f>Лист1!$B$2:$B$21</c:f>
              <c:numCache>
                <c:formatCode>General</c:formatCode>
                <c:ptCount val="20"/>
                <c:pt idx="0">
                  <c:v>0.32100000000000001</c:v>
                </c:pt>
                <c:pt idx="1">
                  <c:v>0.64500000000000002</c:v>
                </c:pt>
                <c:pt idx="2">
                  <c:v>1.032</c:v>
                </c:pt>
                <c:pt idx="3">
                  <c:v>1.411</c:v>
                </c:pt>
                <c:pt idx="4">
                  <c:v>1.64</c:v>
                </c:pt>
                <c:pt idx="5">
                  <c:v>1.954</c:v>
                </c:pt>
                <c:pt idx="6">
                  <c:v>2.25</c:v>
                </c:pt>
                <c:pt idx="7">
                  <c:v>2.5569999999999999</c:v>
                </c:pt>
                <c:pt idx="8">
                  <c:v>2.9249999999999998</c:v>
                </c:pt>
                <c:pt idx="9">
                  <c:v>3.2170000000000001</c:v>
                </c:pt>
                <c:pt idx="10">
                  <c:v>3.589</c:v>
                </c:pt>
                <c:pt idx="11">
                  <c:v>3.871</c:v>
                </c:pt>
                <c:pt idx="12">
                  <c:v>4.218</c:v>
                </c:pt>
                <c:pt idx="13">
                  <c:v>4.4850000000000003</c:v>
                </c:pt>
                <c:pt idx="14">
                  <c:v>4.8150000000000004</c:v>
                </c:pt>
                <c:pt idx="15">
                  <c:v>5.2309999999999999</c:v>
                </c:pt>
                <c:pt idx="16">
                  <c:v>5.4630000000000001</c:v>
                </c:pt>
                <c:pt idx="17">
                  <c:v>5.76</c:v>
                </c:pt>
                <c:pt idx="18">
                  <c:v>6.1109999999999998</c:v>
                </c:pt>
                <c:pt idx="19">
                  <c:v>6.4340000000000002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24-405D-B0B7-49A13A6C4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5356607"/>
        <c:axId val="395363807"/>
      </c:scatterChart>
      <c:valAx>
        <c:axId val="39535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циклов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363807"/>
        <c:crosses val="autoZero"/>
        <c:crossBetween val="midCat"/>
      </c:valAx>
      <c:valAx>
        <c:axId val="39536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 Продолжительноть (с.)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356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Лист1!$B$23</c:f>
              <c:strCache>
                <c:ptCount val="1"/>
                <c:pt idx="0">
                  <c:v>Время вычисления (у.е.)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Лист1!$A$24:$A$39</c:f>
              <c:numCache>
                <c:formatCode>General</c:formatCode>
                <c:ptCount val="16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</c:numCache>
            </c:numRef>
          </c:xVal>
          <c:yVal>
            <c:numRef>
              <c:f>Лист1!$B$24:$B$39</c:f>
              <c:numCache>
                <c:formatCode>General</c:formatCode>
                <c:ptCount val="16"/>
                <c:pt idx="0">
                  <c:v>15</c:v>
                </c:pt>
                <c:pt idx="1">
                  <c:v>27</c:v>
                </c:pt>
                <c:pt idx="2">
                  <c:v>41</c:v>
                </c:pt>
                <c:pt idx="3">
                  <c:v>68</c:v>
                </c:pt>
                <c:pt idx="4">
                  <c:v>104</c:v>
                </c:pt>
                <c:pt idx="5">
                  <c:v>166</c:v>
                </c:pt>
                <c:pt idx="6">
                  <c:v>272</c:v>
                </c:pt>
                <c:pt idx="7">
                  <c:v>433</c:v>
                </c:pt>
                <c:pt idx="8">
                  <c:v>541</c:v>
                </c:pt>
                <c:pt idx="9">
                  <c:v>793</c:v>
                </c:pt>
                <c:pt idx="10">
                  <c:v>1285</c:v>
                </c:pt>
                <c:pt idx="11">
                  <c:v>2040</c:v>
                </c:pt>
                <c:pt idx="12">
                  <c:v>3269</c:v>
                </c:pt>
                <c:pt idx="13">
                  <c:v>5313</c:v>
                </c:pt>
                <c:pt idx="14">
                  <c:v>8833</c:v>
                </c:pt>
                <c:pt idx="15">
                  <c:v>14069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92-4C59-B4B0-0EA2FE442E6E}"/>
            </c:ext>
          </c:extLst>
        </c:ser>
        <c:ser>
          <c:idx val="1"/>
          <c:order val="1"/>
          <c:tx>
            <c:strRef>
              <c:f>Лист1!$C$23</c:f>
              <c:strCache>
                <c:ptCount val="1"/>
                <c:pt idx="0">
                  <c:v>Ожидаемое время (у.е.)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Лист1!$A$24:$A$39</c:f>
              <c:numCache>
                <c:formatCode>General</c:formatCode>
                <c:ptCount val="16"/>
                <c:pt idx="0">
                  <c:v>30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41</c:v>
                </c:pt>
                <c:pt idx="12">
                  <c:v>42</c:v>
                </c:pt>
                <c:pt idx="13">
                  <c:v>43</c:v>
                </c:pt>
                <c:pt idx="14">
                  <c:v>44</c:v>
                </c:pt>
                <c:pt idx="15">
                  <c:v>45</c:v>
                </c:pt>
              </c:numCache>
            </c:numRef>
          </c:xVal>
          <c:yVal>
            <c:numRef>
              <c:f>Лист1!$C$24:$C$39</c:f>
              <c:numCache>
                <c:formatCode>General</c:formatCode>
                <c:ptCount val="16"/>
                <c:pt idx="0">
                  <c:v>18.59325897107302</c:v>
                </c:pt>
                <c:pt idx="1">
                  <c:v>30.08389301519615</c:v>
                </c:pt>
                <c:pt idx="2">
                  <c:v>48.675738898587369</c:v>
                </c:pt>
                <c:pt idx="3">
                  <c:v>78.757345537914375</c:v>
                </c:pt>
                <c:pt idx="4">
                  <c:v>127.42938508034547</c:v>
                </c:pt>
                <c:pt idx="5">
                  <c:v>206.180745059999</c:v>
                </c:pt>
                <c:pt idx="6">
                  <c:v>333.6004455070784</c:v>
                </c:pt>
                <c:pt idx="7">
                  <c:v>539.76552083045283</c:v>
                </c:pt>
                <c:pt idx="8">
                  <c:v>873.34061270367283</c:v>
                </c:pt>
                <c:pt idx="9">
                  <c:v>1413.0651113545428</c:v>
                </c:pt>
                <c:pt idx="10">
                  <c:v>2286.3393501716505</c:v>
                </c:pt>
                <c:pt idx="11">
                  <c:v>3699.2970685777304</c:v>
                </c:pt>
                <c:pt idx="12">
                  <c:v>5985.462656958769</c:v>
                </c:pt>
                <c:pt idx="13">
                  <c:v>9684.4785789592897</c:v>
                </c:pt>
                <c:pt idx="14">
                  <c:v>15669.486340756132</c:v>
                </c:pt>
                <c:pt idx="15">
                  <c:v>25353.228899343419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92-4C59-B4B0-0EA2FE442E6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395399327"/>
        <c:axId val="395400767"/>
      </c:scatterChart>
      <c:valAx>
        <c:axId val="395399327"/>
        <c:scaling>
          <c:orientation val="minMax"/>
          <c:min val="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Номер числа</a:t>
                </a:r>
                <a:r>
                  <a:rPr lang="ru-RU" baseline="0"/>
                  <a:t> Фибоначчи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400767"/>
        <c:crosses val="autoZero"/>
        <c:crossBetween val="midCat"/>
      </c:valAx>
      <c:valAx>
        <c:axId val="39540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(у.е.)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5399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589093</xdr:colOff>
      <xdr:row>1</xdr:row>
      <xdr:rowOff>179739</xdr:rowOff>
    </xdr:from>
    <xdr:to>
      <xdr:col>13</xdr:col>
      <xdr:colOff>588932</xdr:colOff>
      <xdr:row>18</xdr:row>
      <xdr:rowOff>183931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8FC3ECFA-FD55-817A-378A-D1AA698FA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589816</xdr:colOff>
      <xdr:row>23</xdr:row>
      <xdr:rowOff>3662</xdr:rowOff>
    </xdr:from>
    <xdr:to>
      <xdr:col>13</xdr:col>
      <xdr:colOff>608133</xdr:colOff>
      <xdr:row>38</xdr:row>
      <xdr:rowOff>73269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1C5CAFB8-A513-353A-BF25-0F42BBFD08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447A-CA14-44CD-BC02-70BD21C0B90A}">
  <dimension ref="A1:L41"/>
  <sheetViews>
    <sheetView tabSelected="1" zoomScale="130" zoomScaleNormal="130" workbookViewId="0">
      <selection activeCell="O31" sqref="O31"/>
    </sheetView>
  </sheetViews>
  <sheetFormatPr defaultRowHeight="15" x14ac:dyDescent="0.25"/>
  <cols>
    <col min="1" max="1" width="32.140625" bestFit="1" customWidth="1"/>
    <col min="2" max="2" width="28.42578125" customWidth="1"/>
    <col min="3" max="3" width="22.85546875" customWidth="1"/>
  </cols>
  <sheetData>
    <row r="1" spans="1:12" ht="15" customHeight="1" x14ac:dyDescent="0.25">
      <c r="A1" s="5" t="s">
        <v>0</v>
      </c>
      <c r="B1" s="5" t="s">
        <v>1</v>
      </c>
      <c r="C1" s="4"/>
      <c r="H1" s="1"/>
      <c r="I1" s="1"/>
      <c r="J1" s="1"/>
      <c r="K1" s="1"/>
      <c r="L1" s="1"/>
    </row>
    <row r="2" spans="1:12" x14ac:dyDescent="0.25">
      <c r="A2" s="6">
        <v>5000000</v>
      </c>
      <c r="B2" s="6">
        <v>0.32100000000000001</v>
      </c>
      <c r="C2" s="4"/>
      <c r="H2" s="2"/>
      <c r="I2" s="3"/>
      <c r="J2" s="3"/>
      <c r="K2" s="3"/>
      <c r="L2" s="3"/>
    </row>
    <row r="3" spans="1:12" x14ac:dyDescent="0.25">
      <c r="A3" s="6">
        <v>10000000</v>
      </c>
      <c r="B3" s="6">
        <v>0.64500000000000002</v>
      </c>
      <c r="C3" s="4"/>
      <c r="H3" s="2"/>
      <c r="I3" s="3"/>
      <c r="J3" s="3"/>
      <c r="K3" s="3"/>
      <c r="L3" s="3"/>
    </row>
    <row r="4" spans="1:12" x14ac:dyDescent="0.25">
      <c r="A4" s="6">
        <v>15000000</v>
      </c>
      <c r="B4" s="6">
        <v>1.032</v>
      </c>
      <c r="C4" s="4"/>
      <c r="H4" s="2"/>
      <c r="I4" s="3"/>
      <c r="J4" s="3"/>
      <c r="K4" s="3"/>
      <c r="L4" s="3"/>
    </row>
    <row r="5" spans="1:12" x14ac:dyDescent="0.25">
      <c r="A5" s="6">
        <v>20000000</v>
      </c>
      <c r="B5" s="6">
        <v>1.411</v>
      </c>
      <c r="C5" s="4"/>
      <c r="H5" s="2"/>
      <c r="I5" s="3"/>
      <c r="J5" s="3"/>
      <c r="K5" s="3"/>
      <c r="L5" s="3"/>
    </row>
    <row r="6" spans="1:12" x14ac:dyDescent="0.25">
      <c r="A6" s="6">
        <v>25000000</v>
      </c>
      <c r="B6" s="6">
        <v>1.64</v>
      </c>
      <c r="C6" s="4"/>
      <c r="H6" s="2"/>
      <c r="I6" s="3"/>
      <c r="J6" s="3"/>
      <c r="K6" s="3"/>
      <c r="L6" s="3"/>
    </row>
    <row r="7" spans="1:12" x14ac:dyDescent="0.25">
      <c r="A7" s="6">
        <v>30000000</v>
      </c>
      <c r="B7" s="6">
        <v>1.954</v>
      </c>
      <c r="C7" s="4"/>
      <c r="H7" s="2"/>
      <c r="I7" s="3"/>
      <c r="J7" s="3"/>
      <c r="K7" s="3"/>
      <c r="L7" s="3"/>
    </row>
    <row r="8" spans="1:12" x14ac:dyDescent="0.25">
      <c r="A8" s="6">
        <v>35000000</v>
      </c>
      <c r="B8" s="6">
        <v>2.25</v>
      </c>
      <c r="C8" s="4"/>
      <c r="H8" s="2"/>
      <c r="I8" s="3"/>
      <c r="J8" s="3"/>
      <c r="K8" s="3"/>
      <c r="L8" s="3"/>
    </row>
    <row r="9" spans="1:12" x14ac:dyDescent="0.25">
      <c r="A9" s="6">
        <v>40000000</v>
      </c>
      <c r="B9" s="6">
        <v>2.5569999999999999</v>
      </c>
      <c r="C9" s="4"/>
      <c r="H9" s="2"/>
      <c r="I9" s="3"/>
      <c r="J9" s="3"/>
      <c r="K9" s="3"/>
      <c r="L9" s="3"/>
    </row>
    <row r="10" spans="1:12" x14ac:dyDescent="0.25">
      <c r="A10" s="6">
        <v>45000000</v>
      </c>
      <c r="B10" s="6">
        <v>2.9249999999999998</v>
      </c>
      <c r="C10" s="4"/>
      <c r="H10" s="2"/>
      <c r="I10" s="3"/>
      <c r="J10" s="3"/>
      <c r="K10" s="3"/>
      <c r="L10" s="3"/>
    </row>
    <row r="11" spans="1:12" x14ac:dyDescent="0.25">
      <c r="A11" s="6">
        <v>50000000</v>
      </c>
      <c r="B11" s="6">
        <v>3.2170000000000001</v>
      </c>
      <c r="C11" s="4"/>
      <c r="H11" s="2"/>
      <c r="I11" s="3"/>
      <c r="J11" s="3"/>
      <c r="K11" s="3"/>
      <c r="L11" s="3"/>
    </row>
    <row r="12" spans="1:12" x14ac:dyDescent="0.25">
      <c r="A12" s="6">
        <v>55000000</v>
      </c>
      <c r="B12" s="6">
        <v>3.589</v>
      </c>
      <c r="C12" s="4"/>
      <c r="H12" s="2"/>
      <c r="I12" s="3"/>
      <c r="J12" s="3"/>
      <c r="K12" s="3"/>
      <c r="L12" s="3"/>
    </row>
    <row r="13" spans="1:12" x14ac:dyDescent="0.25">
      <c r="A13" s="6">
        <v>60000000</v>
      </c>
      <c r="B13" s="6">
        <v>3.871</v>
      </c>
      <c r="C13" s="4"/>
      <c r="H13" s="2"/>
      <c r="I13" s="3"/>
      <c r="J13" s="3"/>
      <c r="K13" s="3"/>
      <c r="L13" s="3"/>
    </row>
    <row r="14" spans="1:12" x14ac:dyDescent="0.25">
      <c r="A14" s="6">
        <v>65000000</v>
      </c>
      <c r="B14" s="6">
        <v>4.218</v>
      </c>
      <c r="C14" s="4"/>
      <c r="H14" s="2"/>
      <c r="I14" s="3"/>
      <c r="J14" s="3"/>
      <c r="K14" s="3"/>
      <c r="L14" s="3"/>
    </row>
    <row r="15" spans="1:12" x14ac:dyDescent="0.25">
      <c r="A15" s="6">
        <v>70000000</v>
      </c>
      <c r="B15" s="6">
        <v>4.4850000000000003</v>
      </c>
      <c r="C15" s="4"/>
      <c r="H15" s="2"/>
      <c r="I15" s="3"/>
      <c r="J15" s="3"/>
      <c r="K15" s="3"/>
      <c r="L15" s="3"/>
    </row>
    <row r="16" spans="1:12" x14ac:dyDescent="0.25">
      <c r="A16" s="6">
        <v>75000000</v>
      </c>
      <c r="B16" s="6">
        <v>4.8150000000000004</v>
      </c>
      <c r="C16" s="4"/>
      <c r="H16" s="2"/>
      <c r="I16" s="3"/>
      <c r="J16" s="3"/>
      <c r="K16" s="3"/>
      <c r="L16" s="3"/>
    </row>
    <row r="17" spans="1:12" x14ac:dyDescent="0.25">
      <c r="A17" s="6">
        <v>80000000</v>
      </c>
      <c r="B17" s="6">
        <v>5.2309999999999999</v>
      </c>
      <c r="C17" s="4"/>
      <c r="H17" s="2"/>
      <c r="I17" s="3"/>
      <c r="J17" s="3"/>
      <c r="K17" s="3"/>
      <c r="L17" s="3"/>
    </row>
    <row r="18" spans="1:12" x14ac:dyDescent="0.25">
      <c r="A18" s="6">
        <v>85000000</v>
      </c>
      <c r="B18" s="6">
        <v>5.4630000000000001</v>
      </c>
      <c r="C18" s="4"/>
      <c r="H18" s="2"/>
      <c r="I18" s="3"/>
      <c r="J18" s="3"/>
      <c r="K18" s="3"/>
      <c r="L18" s="3"/>
    </row>
    <row r="19" spans="1:12" x14ac:dyDescent="0.25">
      <c r="A19" s="6">
        <v>90000000</v>
      </c>
      <c r="B19" s="6">
        <v>5.76</v>
      </c>
      <c r="C19" s="4"/>
      <c r="H19" s="2"/>
      <c r="I19" s="3"/>
      <c r="J19" s="3"/>
      <c r="K19" s="3"/>
      <c r="L19" s="3"/>
    </row>
    <row r="20" spans="1:12" x14ac:dyDescent="0.25">
      <c r="A20" s="6">
        <v>95000000</v>
      </c>
      <c r="B20" s="6">
        <v>6.1109999999999998</v>
      </c>
      <c r="C20" s="4"/>
      <c r="H20" s="2"/>
      <c r="I20" s="3"/>
      <c r="J20" s="3"/>
      <c r="K20" s="3"/>
      <c r="L20" s="3"/>
    </row>
    <row r="21" spans="1:12" x14ac:dyDescent="0.25">
      <c r="A21" s="6">
        <v>100000000</v>
      </c>
      <c r="B21" s="6">
        <v>6.4340000000000002</v>
      </c>
      <c r="C21" s="4"/>
      <c r="H21" s="2"/>
      <c r="I21" s="3"/>
      <c r="J21" s="3"/>
      <c r="K21" s="3"/>
      <c r="L21" s="3"/>
    </row>
    <row r="22" spans="1:12" ht="15.75" thickBot="1" x14ac:dyDescent="0.3">
      <c r="A22" s="4"/>
      <c r="B22" s="4"/>
      <c r="C22" s="4"/>
    </row>
    <row r="23" spans="1:12" ht="15" customHeight="1" x14ac:dyDescent="0.25">
      <c r="A23" s="7" t="s">
        <v>2</v>
      </c>
      <c r="B23" s="8" t="s">
        <v>3</v>
      </c>
      <c r="C23" s="9" t="s">
        <v>5</v>
      </c>
    </row>
    <row r="24" spans="1:12" x14ac:dyDescent="0.25">
      <c r="A24" s="10">
        <v>30</v>
      </c>
      <c r="B24" s="6">
        <v>15</v>
      </c>
      <c r="C24" s="11">
        <f>B41 * (1.618 ^ A24)</f>
        <v>18.59325897107302</v>
      </c>
    </row>
    <row r="25" spans="1:12" x14ac:dyDescent="0.25">
      <c r="A25" s="10">
        <v>31</v>
      </c>
      <c r="B25" s="6">
        <v>27</v>
      </c>
      <c r="C25" s="11">
        <f>B41 * (1.618 ^ A25)</f>
        <v>30.08389301519615</v>
      </c>
    </row>
    <row r="26" spans="1:12" x14ac:dyDescent="0.25">
      <c r="A26" s="10">
        <v>32</v>
      </c>
      <c r="B26" s="6">
        <v>41</v>
      </c>
      <c r="C26" s="11">
        <f>B41 * (1.618 ^ A26)</f>
        <v>48.675738898587369</v>
      </c>
    </row>
    <row r="27" spans="1:12" x14ac:dyDescent="0.25">
      <c r="A27" s="10">
        <v>33</v>
      </c>
      <c r="B27" s="6">
        <v>68</v>
      </c>
      <c r="C27" s="11">
        <f>B41 * (1.618 ^ A27)</f>
        <v>78.757345537914375</v>
      </c>
    </row>
    <row r="28" spans="1:12" x14ac:dyDescent="0.25">
      <c r="A28" s="10">
        <v>34</v>
      </c>
      <c r="B28" s="6">
        <v>104</v>
      </c>
      <c r="C28" s="11">
        <f>B41 * (1.618 ^ A28)</f>
        <v>127.42938508034547</v>
      </c>
    </row>
    <row r="29" spans="1:12" x14ac:dyDescent="0.25">
      <c r="A29" s="10">
        <v>35</v>
      </c>
      <c r="B29" s="6">
        <v>166</v>
      </c>
      <c r="C29" s="11">
        <f>B41 * (1.618 ^ A29)</f>
        <v>206.180745059999</v>
      </c>
    </row>
    <row r="30" spans="1:12" x14ac:dyDescent="0.25">
      <c r="A30" s="10">
        <v>36</v>
      </c>
      <c r="B30" s="6">
        <v>272</v>
      </c>
      <c r="C30" s="11">
        <f>B41 * (1.618 ^ A30)</f>
        <v>333.6004455070784</v>
      </c>
    </row>
    <row r="31" spans="1:12" x14ac:dyDescent="0.25">
      <c r="A31" s="10">
        <v>37</v>
      </c>
      <c r="B31" s="6">
        <v>433</v>
      </c>
      <c r="C31" s="11">
        <f>B41 * (1.618 ^ A31)</f>
        <v>539.76552083045283</v>
      </c>
    </row>
    <row r="32" spans="1:12" x14ac:dyDescent="0.25">
      <c r="A32" s="10">
        <v>38</v>
      </c>
      <c r="B32" s="6">
        <v>541</v>
      </c>
      <c r="C32" s="11">
        <f>B41 * (1.618 ^ A32)</f>
        <v>873.34061270367283</v>
      </c>
    </row>
    <row r="33" spans="1:3" x14ac:dyDescent="0.25">
      <c r="A33" s="10">
        <v>39</v>
      </c>
      <c r="B33" s="6">
        <v>793</v>
      </c>
      <c r="C33" s="11">
        <f>B41 * (1.618 ^ A33)</f>
        <v>1413.0651113545428</v>
      </c>
    </row>
    <row r="34" spans="1:3" x14ac:dyDescent="0.25">
      <c r="A34" s="10">
        <v>40</v>
      </c>
      <c r="B34" s="6">
        <v>1285</v>
      </c>
      <c r="C34" s="11">
        <f>B41 * (1.618 ^ A34)</f>
        <v>2286.3393501716505</v>
      </c>
    </row>
    <row r="35" spans="1:3" x14ac:dyDescent="0.25">
      <c r="A35" s="10">
        <v>41</v>
      </c>
      <c r="B35" s="6">
        <v>2040</v>
      </c>
      <c r="C35" s="11">
        <f>B41 * (1.618 ^ A35)</f>
        <v>3699.2970685777304</v>
      </c>
    </row>
    <row r="36" spans="1:3" x14ac:dyDescent="0.25">
      <c r="A36" s="10">
        <v>42</v>
      </c>
      <c r="B36" s="6">
        <v>3269</v>
      </c>
      <c r="C36" s="11">
        <f>B41* (1.618 ^ A36)</f>
        <v>5985.462656958769</v>
      </c>
    </row>
    <row r="37" spans="1:3" x14ac:dyDescent="0.25">
      <c r="A37" s="10">
        <v>43</v>
      </c>
      <c r="B37" s="6">
        <v>5313</v>
      </c>
      <c r="C37" s="11">
        <f>B41 * (1.618 ^ A37)</f>
        <v>9684.4785789592897</v>
      </c>
    </row>
    <row r="38" spans="1:3" x14ac:dyDescent="0.25">
      <c r="A38" s="10">
        <v>44</v>
      </c>
      <c r="B38" s="6">
        <v>8833</v>
      </c>
      <c r="C38" s="11">
        <f>B41 * (1.618 ^ A38)</f>
        <v>15669.486340756132</v>
      </c>
    </row>
    <row r="39" spans="1:3" ht="15.75" thickBot="1" x14ac:dyDescent="0.3">
      <c r="A39" s="12">
        <v>45</v>
      </c>
      <c r="B39" s="13">
        <v>14069</v>
      </c>
      <c r="C39" s="11">
        <f>B41 * (1.618 ^ A39)</f>
        <v>25353.228899343419</v>
      </c>
    </row>
    <row r="41" spans="1:3" x14ac:dyDescent="0.25">
      <c r="A41" t="s">
        <v>4</v>
      </c>
      <c r="B41" s="14">
        <v>1.0000000000000001E-5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 За</dc:creator>
  <cp:lastModifiedBy>Я За</cp:lastModifiedBy>
  <dcterms:created xsi:type="dcterms:W3CDTF">2026-02-09T22:53:33Z</dcterms:created>
  <dcterms:modified xsi:type="dcterms:W3CDTF">2026-02-10T01:07:31Z</dcterms:modified>
</cp:coreProperties>
</file>